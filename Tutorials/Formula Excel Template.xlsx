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oshanbutt/Desktop/Excel Tutorial/"/>
    </mc:Choice>
  </mc:AlternateContent>
  <xr:revisionPtr revIDLastSave="0" documentId="13_ncr:1_{8D664A21-D3F3-2146-9080-7CF4ED41B03A}" xr6:coauthVersionLast="47" xr6:coauthVersionMax="47" xr10:uidLastSave="{00000000-0000-0000-0000-000000000000}"/>
  <bookViews>
    <workbookView xWindow="0" yWindow="660" windowWidth="29400" windowHeight="18460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2" i="13" a="1"/>
  <c r="J2" i="13" s="1"/>
  <c r="L2" i="5"/>
  <c r="K2" i="5"/>
  <c r="J2" i="5"/>
  <c r="L2" i="12"/>
  <c r="K2" i="12"/>
  <c r="J2" i="12"/>
  <c r="K2" i="7" a="1"/>
  <c r="K2" i="7" s="1"/>
  <c r="J2" i="7" a="1"/>
  <c r="J2" i="7" s="1"/>
  <c r="L2" i="7" a="1"/>
  <c r="L2" i="7" s="1"/>
  <c r="K2" i="1" a="1"/>
  <c r="K2" i="1" s="1"/>
  <c r="J2" i="1" a="1"/>
  <c r="J2" i="1" s="1"/>
  <c r="J2" i="6" a="1"/>
  <c r="J2" i="6" s="1"/>
  <c r="K2" i="3" a="1"/>
  <c r="K2" i="3" s="1"/>
  <c r="J2" i="3" a="1"/>
  <c r="J2" i="3" s="1"/>
  <c r="M2" i="4" a="1"/>
  <c r="M2" i="4" s="1"/>
  <c r="L2" i="4" a="1"/>
  <c r="L2" i="4" s="1"/>
  <c r="K2" i="4" a="1"/>
  <c r="K2" i="4" s="1"/>
  <c r="J2" i="2" a="1"/>
  <c r="J2" i="2" s="1"/>
  <c r="K2" i="8" a="1"/>
  <c r="K2" i="8" s="1"/>
  <c r="J2" i="8" a="1"/>
  <c r="J2" i="8" s="1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<sst xmlns="http://schemas.openxmlformats.org/spreadsheetml/2006/main" count="585" uniqueCount="90">
  <si>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</si>
  <si>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</si>
  <si>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</si>
  <si>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</si>
  <si>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</si>
  <si>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</si>
  <si>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</si>
  <si>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</si>
  <si>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</si>
  <si>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</si>
  <si>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</si>
  <si>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</si>
  <si>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</si>
  <si>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</si>
  <si>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</si>
  <si>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</si>
  <si>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</si>
  <si>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</si>
  <si>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</si>
  <si>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</si>
  <si>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</si>
  <si>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</si>
  <si>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</si>
  <si>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</si>
  <si>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</si>
  <si>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</si>
  <si>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</si>
  <si>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</si>
  <si>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</si>
  <si>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</si>
  <si>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</si>
  <si>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</si>
  <si>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</si>
  <si>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</si>
  <si>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</si>
  <si>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</si>
  <si>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</si>
  <si>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</si>
  <si>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</si>
  <si>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</si>
  <si>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</si>
  <si>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</si>
  <si>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</si>
  <si>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</si>
  <si>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</si>
  <si>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</si>
  <si>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</si>
  <si>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</si>
  <si>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</si>
  <si>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</si>
  <si>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</si>
  <si>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</si>
  <si>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</si>
  <si>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</si>
  <si>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</si>
  <si>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</si>
  <si>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</si>
  <si>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</si>
  <si>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</si>
  <si>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</si>
  <si>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</si>
  <si>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</si>
  <si>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</si>
  <si>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</si>
  <si>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</si>
  <si>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</si>
  <si>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</si>
  <si>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</si>
  <si>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</si>
  <si>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</si>
  <si>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</si>
  <si>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</si>
  <si>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</si>
  <si>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</si>
  <si>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</si>
  <si>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</si>
  <si>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</si>
  <si>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</si>
  <si>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</si>
  <si>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</si>
  <si>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</si>
  <si>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</si>
  <si>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</si>
  <si>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</si>
  <si>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</si>
  <si>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</si>
  <si>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</si>
  <si>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</si>
  <si>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Right applied</t>
  </si>
  <si>
    <t>Emails with concatenate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</si>
</sst>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zoomScale="150" workbookViewId="0">
      <selection activeCell="K4" sqref="K4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MIN(G2:G10)</f>
        <v>36000</v>
      </c>
    </row>
    <row r="4" spans="1:11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zoomScale="125" workbookViewId="0">
      <selection activeCell="K2" sqref="K2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  <col min="11" max="11" width="18.83203125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IF(D2:D10&gt;30,"old","Young")</f>
        <v>Young</v>
      </c>
      <c r="K2" t="str" cm="1">
        <f t="array" ref="K2:K10">_xlfn.IFS(F2:F10="Salesman","Sales",F2:F10="HR","Fire Immediately",F2:F10="Regional Manager","Give christmas bonus")</f>
        <v>Sales</v>
      </c>
    </row>
    <row r="3" spans="1:11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e">
        <v>#N/A</v>
      </c>
    </row>
    <row r="6" spans="1:11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Fire Immediately</v>
      </c>
    </row>
    <row r="7" spans="1:11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str">
        <v>Give christmas bonus</v>
      </c>
    </row>
    <row r="8" spans="1:11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zoomScale="159" workbookViewId="0">
      <selection activeCell="K10" sqref="K10"/>
    </sheetView>
  </sheetViews>
  <sheetFormatPr baseColWidth="10" defaultColWidth="10.83203125" defaultRowHeight="15" x14ac:dyDescent="0.2"/>
  <cols>
    <col min="1" max="1" width="10.83203125" bestFit="1" customWidth="1"/>
  </cols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zoomScale="111" workbookViewId="0">
      <selection activeCell="M15" sqref="M15"/>
    </sheetView>
  </sheetViews>
  <sheetFormatPr baseColWidth="10" defaultColWidth="14.5" defaultRowHeight="15" x14ac:dyDescent="0.2"/>
  <cols>
    <col min="4" max="4" width="8" customWidth="1"/>
    <col min="10" max="10" width="37.5" customWidth="1"/>
  </cols>
  <sheetData>
    <row r="1" spans="1:13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LEFT(H2:H10,4)</f>
        <v>11/2</v>
      </c>
      <c r="L2" t="str" cm="1">
        <f t="array" ref="L2:L10">RIGHT(H2:H10,4)</f>
        <v>2001</v>
      </c>
      <c r="M2" t="str" cm="1">
        <f t="array" ref="M2:M10">RIGHT(G2:G10,4)</f>
        <v>5000</v>
      </c>
    </row>
    <row r="3" spans="1:13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10/3</v>
      </c>
      <c r="L3" t="str">
        <v>1999</v>
      </c>
      <c r="M3" t="str">
        <v>6000</v>
      </c>
    </row>
    <row r="4" spans="1:13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7/4/</v>
      </c>
      <c r="L4" t="str">
        <v>2000</v>
      </c>
      <c r="M4" t="str">
        <v>3000</v>
      </c>
    </row>
    <row r="5" spans="1:13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1/5/</v>
      </c>
      <c r="L5" t="str">
        <v>2000</v>
      </c>
      <c r="M5" t="str">
        <v>7000</v>
      </c>
    </row>
    <row r="6" spans="1:13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5/6/</v>
      </c>
      <c r="L6" t="str">
        <v>2001</v>
      </c>
      <c r="M6" t="str">
        <v>0000</v>
      </c>
    </row>
    <row r="7" spans="1:13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5/6/</v>
      </c>
      <c r="L7" t="str">
        <v>2001</v>
      </c>
      <c r="M7" t="str">
        <v>5000</v>
      </c>
    </row>
    <row r="8" spans="1:13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11/8</v>
      </c>
      <c r="L8" t="str">
        <v>2003</v>
      </c>
      <c r="M8" t="str">
        <v>1000</v>
      </c>
    </row>
    <row r="9" spans="1:13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6/9/</v>
      </c>
      <c r="L9" t="str">
        <v>2002</v>
      </c>
      <c r="M9" t="str">
        <v>8000</v>
      </c>
    </row>
    <row r="10" spans="1:13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8/10</v>
      </c>
      <c r="L10" t="str">
        <v>2003</v>
      </c>
      <c r="M10" t="str">
        <v>2000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13"/>
  <sheetViews>
    <sheetView zoomScale="118" workbookViewId="0">
      <selection activeCell="L15" sqref="L15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  <col min="10" max="10" width="20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  <c r="K1" t="s">
        <v>88</v>
      </c>
    </row>
    <row r="2" spans="1:11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TEXT(H2:H10,"dd/mm/yyyy")</f>
        <v>02/11/2001</v>
      </c>
      <c r="K2" t="str" cm="1">
        <f t="array" ref="K2:K10">RIGHT(_xlfn.ANCHORARRAY(J2),4)</f>
        <v>2001</v>
      </c>
    </row>
    <row r="3" spans="1:11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03/10/1999</v>
      </c>
      <c r="K3" s="2" t="str">
        <v>1999</v>
      </c>
    </row>
    <row r="4" spans="1:11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04/07/2000</v>
      </c>
      <c r="K4" s="2" t="str">
        <v>2000</v>
      </c>
    </row>
    <row r="5" spans="1:11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05/01/2000</v>
      </c>
      <c r="K5" s="2" t="str">
        <v>2000</v>
      </c>
    </row>
    <row r="6" spans="1:11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06/05/2001</v>
      </c>
      <c r="K6" s="2" t="str">
        <v>2001</v>
      </c>
    </row>
    <row r="7" spans="1:11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07/12/1995</v>
      </c>
      <c r="K7" s="2" t="str">
        <v>1995</v>
      </c>
    </row>
    <row r="8" spans="1:11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K8" s="2" t="str">
        <v>2003</v>
      </c>
    </row>
    <row r="9" spans="1:11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09/06/2002</v>
      </c>
      <c r="K9" s="2" t="str">
        <v>2002</v>
      </c>
    </row>
    <row r="10" spans="1:11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10/08/2003</v>
      </c>
      <c r="K10" s="2" t="str">
        <v>2003</v>
      </c>
    </row>
    <row r="12" spans="1:11" x14ac:dyDescent="0.2">
      <c r="H12" s="1"/>
    </row>
    <row r="13" spans="1:11" x14ac:dyDescent="0.2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zoomScale="125" workbookViewId="0">
      <selection activeCell="J12" sqref="J12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2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2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2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2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2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2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2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2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2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topLeftCell="C1" zoomScale="134" workbookViewId="0">
      <selection activeCell="K3" sqref="K3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SUBSTITUTE(H2:H10,"/","-",1)</f>
        <v>11-2/2001</v>
      </c>
      <c r="K2" t="str" cm="1">
        <f t="array" ref="K2:K10">SUBSTITUTE(I2:I10,"/","-",2)</f>
        <v>9/6-2015</v>
      </c>
      <c r="L2" t="str" cm="1">
        <f t="array" ref="L2:L10">SUBSTITUTE(H2:H10,"/","-")</f>
        <v>11-2-2001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10-3/1999</v>
      </c>
      <c r="K3" t="str">
        <v>10/10-2015</v>
      </c>
      <c r="L3" t="str">
        <v>10-3-1999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7-4/2000</v>
      </c>
      <c r="K4" t="str">
        <v>9/8-2017</v>
      </c>
      <c r="L4" t="str">
        <v>7-4-2000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v>1-5/2000</v>
      </c>
      <c r="K5" t="str">
        <v>12/3-2015</v>
      </c>
      <c r="L5" t="str">
        <v>1-5-2000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5-6/2001</v>
      </c>
      <c r="K6" t="str">
        <v>8/30-2017</v>
      </c>
      <c r="L6" t="str">
        <v>5-6-2001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5-6/2001</v>
      </c>
      <c r="K7" t="str">
        <v>9/11-2013</v>
      </c>
      <c r="L7" t="str">
        <v>5-6-2001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11-8/2003</v>
      </c>
      <c r="K8" t="str">
        <v>9/11-2013</v>
      </c>
      <c r="L8" t="str">
        <v>11-8-2003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6-9/2002</v>
      </c>
      <c r="K9" t="str">
        <v>4/22-2015</v>
      </c>
      <c r="L9" t="str">
        <v>6-9-2002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8-10/2003</v>
      </c>
      <c r="K10" t="str">
        <v>4/22-2015</v>
      </c>
      <c r="L10" t="str">
        <v>8-10-2003</v>
      </c>
    </row>
    <row r="12" spans="1:12" x14ac:dyDescent="0.2">
      <c r="H12" s="2"/>
      <c r="I12" s="2"/>
    </row>
    <row r="13" spans="1:12" x14ac:dyDescent="0.2">
      <c r="H13" s="2"/>
      <c r="I13" s="2"/>
    </row>
    <row r="14" spans="1:12" x14ac:dyDescent="0.2">
      <c r="H14" s="2"/>
      <c r="I14" s="2"/>
    </row>
    <row r="15" spans="1:12" x14ac:dyDescent="0.2">
      <c r="H15" s="2"/>
      <c r="I15" s="2"/>
    </row>
    <row r="16" spans="1:12" x14ac:dyDescent="0.2">
      <c r="H16" s="2"/>
      <c r="I16" s="2"/>
    </row>
    <row r="17" spans="8:9" x14ac:dyDescent="0.2">
      <c r="H17" s="2"/>
      <c r="I17" s="2"/>
    </row>
    <row r="18" spans="8:9" x14ac:dyDescent="0.2">
      <c r="H18" s="2"/>
      <c r="I18" s="2"/>
    </row>
    <row r="19" spans="8:9" x14ac:dyDescent="0.2">
      <c r="H19" s="2"/>
      <c r="I19" s="2"/>
    </row>
    <row r="20" spans="8:9" x14ac:dyDescent="0.2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zoomScale="125" workbookViewId="0">
      <selection activeCell="K5" sqref="K5"/>
    </sheetView>
  </sheetViews>
  <sheetFormatPr baseColWidth="10" defaultColWidth="13" defaultRowHeight="15" x14ac:dyDescent="0.2"/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L3" sqref="L3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COUNTIF(D2:D10,"&gt;30")</f>
        <v>6</v>
      </c>
      <c r="L2">
        <f>COUNTIFS(A2:A10,"&gt;1005",E2:E10,"Male")</f>
        <v>3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workbookViewId="0">
      <selection activeCell="L6" sqref="L6"/>
    </sheetView>
  </sheetViews>
  <sheetFormatPr baseColWidth="10" defaultColWidth="8.83203125" defaultRowHeight="15" x14ac:dyDescent="0.2"/>
  <cols>
    <col min="2" max="2" width="10.5" customWidth="1"/>
    <col min="3" max="5" width="10.6640625" customWidth="1"/>
    <col min="6" max="6" width="16.5" customWidth="1"/>
    <col min="8" max="8" width="14.1640625" customWidth="1"/>
    <col min="9" max="9" width="14.83203125" customWidth="1"/>
    <col min="10" max="10" width="22" bestFit="1" customWidth="1"/>
    <col min="11" max="11" width="30.6640625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  <c r="K1" t="s">
        <v>89</v>
      </c>
    </row>
    <row r="2" spans="1:11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CONCATENATE(B2:B10," ",C2:C10)</f>
        <v>Jim Halpert</v>
      </c>
      <c r="K2" t="str" cm="1">
        <f t="array" ref="K2:K10">CONCATENATE(B2:B10,".",C2:C10,"@gmail.com")</f>
        <v>Jim.Halpert@gmail.com</v>
      </c>
    </row>
    <row r="3" spans="1:11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Pam Beasley</v>
      </c>
      <c r="K3" t="str">
        <v>Pam.Beasley@gmail.com</v>
      </c>
    </row>
    <row r="4" spans="1:11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Dwight Schrute</v>
      </c>
      <c r="K4" t="str">
        <v>Dwight.Schrute@gmail.com</v>
      </c>
    </row>
    <row r="5" spans="1:11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Angela Martin</v>
      </c>
      <c r="K5" t="str">
        <v>Angela.Martin@gmail.com</v>
      </c>
    </row>
    <row r="6" spans="1:11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Toby Flenderson</v>
      </c>
      <c r="K6" t="str">
        <v>Toby.Flenderson@gmail.com</v>
      </c>
    </row>
    <row r="7" spans="1:11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Michael Scott</v>
      </c>
      <c r="K7" t="str">
        <v>Michael.Scott@gmail.com</v>
      </c>
    </row>
    <row r="8" spans="1:11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Meredith Palmer</v>
      </c>
      <c r="K8" t="str">
        <v>Meredith.Palmer@gmail.com</v>
      </c>
    </row>
    <row r="9" spans="1:11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Stanley Hudson</v>
      </c>
      <c r="K9" t="str">
        <v>Stanley.Hudson@gmail.com</v>
      </c>
    </row>
    <row r="10" spans="1:11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Kevin Malone</v>
      </c>
      <c r="K10" t="str">
        <v>Kevin.Malone@gmail.com</v>
      </c>
    </row>
    <row r="11" spans="1:11" x14ac:dyDescent="0.2">
      <c r="H11" t="str">
        <f t="shared" ref="H11:H12" si="0">CONCATENATE(B11," ",C11)</f>
        <v xml:space="preserve"> </v>
      </c>
    </row>
    <row r="12" spans="1:11" x14ac:dyDescent="0.2">
      <c r="H12" t="str">
        <f t="shared" si="0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topLeftCell="B1" zoomScale="138" workbookViewId="0">
      <selection activeCell="L9" sqref="L9"/>
    </sheetView>
  </sheetViews>
  <sheetFormatPr baseColWidth="10" defaultColWidth="8.83203125" defaultRowHeight="15" x14ac:dyDescent="0.2"/>
  <cols>
    <col min="8" max="8" width="14.5" customWidth="1"/>
    <col min="9" max="9" width="13.33203125" customWidth="1"/>
    <col min="11" max="11" width="16.5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cm="1">
        <f t="array" ref="J2:J10">_xlfn.DAYS(I2:I10,H2:H10)</f>
        <v>5056</v>
      </c>
      <c r="K2">
        <f>NETWORKDAYS(H2,I2)</f>
        <v>3611</v>
      </c>
    </row>
    <row r="3" spans="1:11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v>5851</v>
      </c>
      <c r="K3">
        <f t="shared" ref="K3:K10" si="0">NETWORKDAYS(H3,I3)</f>
        <v>4180</v>
      </c>
    </row>
    <row r="4" spans="1:11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v>6275</v>
      </c>
      <c r="K4">
        <f t="shared" si="0"/>
        <v>4484</v>
      </c>
    </row>
    <row r="5" spans="1:11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v>5811</v>
      </c>
      <c r="K5">
        <f t="shared" si="0"/>
        <v>4152</v>
      </c>
    </row>
    <row r="6" spans="1:11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>
        <v>5960</v>
      </c>
      <c r="K6">
        <f t="shared" si="0"/>
        <v>4258</v>
      </c>
    </row>
    <row r="7" spans="1:11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v>4511</v>
      </c>
      <c r="K7">
        <f t="shared" si="0"/>
        <v>3223</v>
      </c>
    </row>
    <row r="8" spans="1:11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v>3595</v>
      </c>
      <c r="K8">
        <f t="shared" si="0"/>
        <v>2568</v>
      </c>
    </row>
    <row r="9" spans="1:11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>
        <v>4700</v>
      </c>
      <c r="K9">
        <f t="shared" si="0"/>
        <v>3358</v>
      </c>
    </row>
    <row r="10" spans="1:11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>
        <v>4273</v>
      </c>
      <c r="K10">
        <f t="shared" si="0"/>
        <v>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Rooshan Butt</cp:lastModifiedBy>
  <dcterms:created xsi:type="dcterms:W3CDTF">2021-12-16T14:18:34Z</dcterms:created>
  <dcterms:modified xsi:type="dcterms:W3CDTF">2025-12-05T16:08:35Z</dcterms:modified>
</cp:coreProperties>
</file>